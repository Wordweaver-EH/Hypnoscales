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s\"/>
    </mc:Choice>
  </mc:AlternateContent>
  <xr:revisionPtr revIDLastSave="0" documentId="13_ncr:1_{9B7BA0CF-4D79-4F64-9B6C-3785167FF87B}" xr6:coauthVersionLast="47" xr6:coauthVersionMax="47" xr10:uidLastSave="{00000000-0000-0000-0000-000000000000}"/>
  <bookViews>
    <workbookView xWindow="-120" yWindow="-120" windowWidth="29040" windowHeight="15840" xr2:uid="{E501D402-B4DB-4D10-B0BB-DE6F36AF2054}"/>
  </bookViews>
  <sheets>
    <sheet name="Key" sheetId="4" r:id="rId1"/>
    <sheet name="Single CCFI" sheetId="1" r:id="rId2"/>
    <sheet name="CCFI Profile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2" i="2" l="1"/>
  <c r="C13" i="2"/>
  <c r="C14" i="2"/>
  <c r="C15" i="1"/>
  <c r="B14" i="2"/>
  <c r="B13" i="2"/>
  <c r="B12" i="2"/>
  <c r="D15" i="1"/>
  <c r="E15" i="1"/>
  <c r="F15" i="1"/>
  <c r="G15" i="1"/>
  <c r="H15" i="1"/>
  <c r="I15" i="1"/>
  <c r="J15" i="1"/>
  <c r="K15" i="1"/>
  <c r="L15" i="1"/>
  <c r="M15" i="1"/>
  <c r="N15" i="1"/>
  <c r="O15" i="1"/>
  <c r="P15" i="1"/>
  <c r="Q15" i="1"/>
  <c r="B15" i="1"/>
  <c r="C14" i="1"/>
  <c r="D14" i="1"/>
  <c r="E14" i="1"/>
  <c r="F14" i="1"/>
  <c r="G14" i="1"/>
  <c r="H14" i="1"/>
  <c r="I14" i="1"/>
  <c r="J14" i="1"/>
  <c r="K14" i="1"/>
  <c r="L14" i="1"/>
  <c r="M14" i="1"/>
  <c r="N14" i="1"/>
  <c r="O14" i="1"/>
  <c r="P14" i="1"/>
  <c r="Q14" i="1"/>
  <c r="C13" i="1"/>
  <c r="D13" i="1"/>
  <c r="E13" i="1"/>
  <c r="F13" i="1"/>
  <c r="G13" i="1"/>
  <c r="H13" i="1"/>
  <c r="I13" i="1"/>
  <c r="J13" i="1"/>
  <c r="K13" i="1"/>
  <c r="L13" i="1"/>
  <c r="M13" i="1"/>
  <c r="N13" i="1"/>
  <c r="O13" i="1"/>
  <c r="P13" i="1"/>
  <c r="Q13" i="1"/>
  <c r="C12" i="1"/>
  <c r="D12" i="1"/>
  <c r="E12" i="1"/>
  <c r="F12" i="1"/>
  <c r="G12" i="1"/>
  <c r="H12" i="1"/>
  <c r="I12" i="1"/>
  <c r="J12" i="1"/>
  <c r="K12" i="1"/>
  <c r="L12" i="1"/>
  <c r="M12" i="1"/>
  <c r="N12" i="1"/>
  <c r="O12" i="1"/>
  <c r="P12" i="1"/>
  <c r="Q12" i="1"/>
  <c r="B14" i="1"/>
  <c r="B13" i="1"/>
  <c r="B12" i="1"/>
</calcChain>
</file>

<file path=xl/sharedStrings.xml><?xml version="1.0" encoding="utf-8"?>
<sst xmlns="http://schemas.openxmlformats.org/spreadsheetml/2006/main" count="48" uniqueCount="26">
  <si>
    <t>Seed</t>
  </si>
  <si>
    <t>Mean</t>
  </si>
  <si>
    <t>MAMBAC</t>
  </si>
  <si>
    <t>MAXEIG</t>
  </si>
  <si>
    <t>L-Mode</t>
  </si>
  <si>
    <t>Mean CCFI</t>
  </si>
  <si>
    <t>Min</t>
  </si>
  <si>
    <t>Max</t>
  </si>
  <si>
    <t>Median</t>
  </si>
  <si>
    <t>Median Seed</t>
  </si>
  <si>
    <t>Mean Mean CCFI</t>
  </si>
  <si>
    <t>Variable</t>
  </si>
  <si>
    <t>Description</t>
  </si>
  <si>
    <t>Median seed</t>
  </si>
  <si>
    <t>Pseudo-random seed used as an argument in RunTaxometrics() function</t>
  </si>
  <si>
    <t>The median of CCFI values for all seeds</t>
  </si>
  <si>
    <t>The biggest value of all CCFI values for all seeds</t>
  </si>
  <si>
    <t>The smallest value of all CCFI values for all seeds</t>
  </si>
  <si>
    <t>Mean of CCFI values for all seeds</t>
  </si>
  <si>
    <t>Harvard (base rate: .15)</t>
  </si>
  <si>
    <t>Harvard (base rate: .10)</t>
  </si>
  <si>
    <t>Involuntariness (base rate: .15)</t>
  </si>
  <si>
    <t>Involuntariness (base rate: .10)</t>
  </si>
  <si>
    <t>Harvard</t>
  </si>
  <si>
    <t>Involuntariness</t>
  </si>
  <si>
    <t>The seed value that yielded the result that ended up being the median result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</si>
</sst>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1" fillId="3" borderId="0" xfId="0" applyFont="1" applyFill="1" applyBorder="1"/>
    <xf numFmtId="0" fontId="1" fillId="2" borderId="0" xfId="0" applyFont="1" applyFill="1" applyBorder="1"/>
    <xf numFmtId="0" fontId="1" fillId="5" borderId="0" xfId="0" applyFont="1" applyFill="1" applyBorder="1"/>
    <xf numFmtId="0" fontId="1" fillId="4" borderId="0" xfId="0" applyFont="1" applyFill="1" applyBorder="1"/>
    <xf numFmtId="0" fontId="2" fillId="0" borderId="0" xfId="0" applyFont="1"/>
    <xf numFmtId="164" fontId="2" fillId="2" borderId="0" xfId="0" applyNumberFormat="1" applyFont="1" applyFill="1" applyBorder="1"/>
    <xf numFmtId="164" fontId="2" fillId="3" borderId="0" xfId="0" applyNumberFormat="1" applyFont="1" applyFill="1" applyBorder="1"/>
    <xf numFmtId="164" fontId="2" fillId="5" borderId="0" xfId="0" applyNumberFormat="1" applyFont="1" applyFill="1" applyBorder="1"/>
    <xf numFmtId="164" fontId="2" fillId="4" borderId="0" xfId="0" applyNumberFormat="1" applyFont="1" applyFill="1" applyBorder="1"/>
    <xf numFmtId="164" fontId="0" fillId="2" borderId="0" xfId="0" applyNumberFormat="1" applyFill="1" applyBorder="1"/>
    <xf numFmtId="164" fontId="0" fillId="3" borderId="0" xfId="0" applyNumberFormat="1" applyFill="1" applyBorder="1"/>
    <xf numFmtId="164" fontId="0" fillId="5" borderId="0" xfId="0" applyNumberFormat="1" applyFill="1" applyBorder="1"/>
    <xf numFmtId="164" fontId="0" fillId="4" borderId="0" xfId="0" applyNumberFormat="1" applyFill="1" applyBorder="1"/>
    <xf numFmtId="164" fontId="0" fillId="2" borderId="0" xfId="0" applyNumberFormat="1" applyFill="1"/>
    <xf numFmtId="164" fontId="0" fillId="3" borderId="0" xfId="0" applyNumberFormat="1" applyFill="1"/>
    <xf numFmtId="164" fontId="0" fillId="5" borderId="0" xfId="0" applyNumberFormat="1" applyFill="1"/>
    <xf numFmtId="164" fontId="0" fillId="4" borderId="0" xfId="0" applyNumberFormat="1" applyFill="1"/>
    <xf numFmtId="0" fontId="0" fillId="0" borderId="4" xfId="0" applyBorder="1"/>
    <xf numFmtId="0" fontId="3" fillId="0" borderId="0" xfId="0" applyFont="1" applyBorder="1"/>
    <xf numFmtId="0" fontId="3" fillId="0" borderId="5" xfId="0" applyFont="1" applyBorder="1"/>
    <xf numFmtId="0" fontId="0" fillId="0" borderId="6" xfId="0" applyBorder="1"/>
    <xf numFmtId="0" fontId="3" fillId="0" borderId="7" xfId="0" applyFont="1" applyBorder="1"/>
    <xf numFmtId="0" fontId="3" fillId="0" borderId="8" xfId="0" applyFont="1" applyBorder="1"/>
    <xf numFmtId="0" fontId="1" fillId="0" borderId="1" xfId="0" applyFont="1" applyBorder="1"/>
    <xf numFmtId="0" fontId="0" fillId="0" borderId="0" xfId="0" applyBorder="1"/>
    <xf numFmtId="0" fontId="0" fillId="0" borderId="5" xfId="0" applyBorder="1"/>
    <xf numFmtId="0" fontId="1" fillId="0" borderId="4" xfId="0" applyFont="1" applyBorder="1"/>
    <xf numFmtId="0" fontId="1" fillId="4" borderId="5" xfId="0" applyFont="1" applyFill="1" applyBorder="1"/>
    <xf numFmtId="0" fontId="2" fillId="0" borderId="4" xfId="0" applyFont="1" applyBorder="1"/>
    <xf numFmtId="164" fontId="2" fillId="4" borderId="5" xfId="0" applyNumberFormat="1" applyFont="1" applyFill="1" applyBorder="1"/>
    <xf numFmtId="164" fontId="0" fillId="4" borderId="5" xfId="0" applyNumberFormat="1" applyFill="1" applyBorder="1"/>
    <xf numFmtId="164" fontId="0" fillId="2" borderId="7" xfId="0" applyNumberFormat="1" applyFill="1" applyBorder="1"/>
    <xf numFmtId="164" fontId="0" fillId="3" borderId="7" xfId="0" applyNumberFormat="1" applyFill="1" applyBorder="1"/>
    <xf numFmtId="164" fontId="0" fillId="5" borderId="7" xfId="0" applyNumberFormat="1" applyFill="1" applyBorder="1"/>
    <xf numFmtId="164" fontId="0" fillId="4" borderId="7" xfId="0" applyNumberFormat="1" applyFill="1" applyBorder="1"/>
    <xf numFmtId="164" fontId="0" fillId="4" borderId="8" xfId="0" applyNumberFormat="1" applyFill="1" applyBorder="1"/>
    <xf numFmtId="0" fontId="1" fillId="2" borderId="2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1" fillId="4" borderId="2" xfId="0" applyFont="1" applyFill="1" applyBorder="1" applyAlignment="1">
      <alignment horizontal="center"/>
    </xf>
    <xf numFmtId="0" fontId="1" fillId="4" borderId="3" xfId="0" applyFont="1" applyFill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C9D6B2-6DFC-40F9-8A0A-7D34CB54EC55}">
  <dimension ref="A1:B7"/>
  <sheetViews>
    <sheetView tabSelected="1" workbookViewId="0">
      <selection activeCell="B10" sqref="B10"/>
    </sheetView>
  </sheetViews>
  <sheetFormatPr defaultColWidth="8.85546875" defaultRowHeight="15" x14ac:dyDescent="0.25"/>
  <cols>
    <col min="1" max="1" width="12.42578125" bestFit="1" customWidth="1"/>
    <col min="2" max="2" width="67.42578125" bestFit="1" customWidth="1"/>
  </cols>
  <sheetData>
    <row r="1" spans="1:2" x14ac:dyDescent="0.25">
      <c r="A1" s="1" t="s">
        <v>11</v>
      </c>
      <c r="B1" s="1" t="s">
        <v>12</v>
      </c>
    </row>
    <row r="2" spans="1:2" x14ac:dyDescent="0.25">
      <c r="A2" t="s">
        <v>0</v>
      </c>
      <c r="B2" t="s">
        <v>14</v>
      </c>
    </row>
    <row r="3" spans="1:2" x14ac:dyDescent="0.25">
      <c r="A3" t="s">
        <v>1</v>
      </c>
      <c r="B3" t="s">
        <v>18</v>
      </c>
    </row>
    <row r="4" spans="1:2" x14ac:dyDescent="0.25">
      <c r="A4" t="s">
        <v>6</v>
      </c>
      <c r="B4" t="s">
        <v>17</v>
      </c>
    </row>
    <row r="5" spans="1:2" x14ac:dyDescent="0.25">
      <c r="A5" t="s">
        <v>7</v>
      </c>
      <c r="B5" t="s">
        <v>16</v>
      </c>
    </row>
    <row r="6" spans="1:2" x14ac:dyDescent="0.25">
      <c r="A6" t="s">
        <v>8</v>
      </c>
      <c r="B6" t="s">
        <v>15</v>
      </c>
    </row>
    <row r="7" spans="1:2" x14ac:dyDescent="0.25">
      <c r="A7" t="s">
        <v>13</v>
      </c>
      <c r="B7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31F3BE-9E08-47C1-A519-275132EBCDA7}">
  <dimension ref="A1:Q16"/>
  <sheetViews>
    <sheetView workbookViewId="0">
      <selection activeCell="N2" sqref="N2"/>
    </sheetView>
  </sheetViews>
  <sheetFormatPr defaultColWidth="8.85546875" defaultRowHeight="15" x14ac:dyDescent="0.25"/>
  <cols>
    <col min="1" max="1" width="12.7109375" bestFit="1" customWidth="1"/>
    <col min="2" max="4" width="10" bestFit="1" customWidth="1"/>
    <col min="5" max="5" width="10.42578125" bestFit="1" customWidth="1"/>
    <col min="6" max="8" width="10" bestFit="1" customWidth="1"/>
    <col min="9" max="9" width="10.42578125" bestFit="1" customWidth="1"/>
    <col min="10" max="12" width="10" bestFit="1" customWidth="1"/>
    <col min="13" max="13" width="10.42578125" bestFit="1" customWidth="1"/>
    <col min="14" max="16" width="10" bestFit="1" customWidth="1"/>
    <col min="17" max="17" width="10.42578125" bestFit="1" customWidth="1"/>
  </cols>
  <sheetData>
    <row r="1" spans="1:17" x14ac:dyDescent="0.25">
      <c r="A1" s="25"/>
      <c r="B1" s="38" t="s">
        <v>19</v>
      </c>
      <c r="C1" s="38"/>
      <c r="D1" s="38"/>
      <c r="E1" s="38"/>
      <c r="F1" s="39" t="s">
        <v>20</v>
      </c>
      <c r="G1" s="39"/>
      <c r="H1" s="39"/>
      <c r="I1" s="39"/>
      <c r="J1" s="40" t="s">
        <v>21</v>
      </c>
      <c r="K1" s="40"/>
      <c r="L1" s="40"/>
      <c r="M1" s="40"/>
      <c r="N1" s="41" t="s">
        <v>22</v>
      </c>
      <c r="O1" s="41"/>
      <c r="P1" s="41"/>
      <c r="Q1" s="42"/>
    </row>
    <row r="2" spans="1:17" x14ac:dyDescent="0.25">
      <c r="A2" s="28" t="s">
        <v>0</v>
      </c>
      <c r="B2" s="3" t="s">
        <v>2</v>
      </c>
      <c r="C2" s="3" t="s">
        <v>3</v>
      </c>
      <c r="D2" s="3" t="s">
        <v>4</v>
      </c>
      <c r="E2" s="3" t="s">
        <v>5</v>
      </c>
      <c r="F2" s="2" t="s">
        <v>2</v>
      </c>
      <c r="G2" s="2" t="s">
        <v>3</v>
      </c>
      <c r="H2" s="2" t="s">
        <v>4</v>
      </c>
      <c r="I2" s="2" t="s">
        <v>5</v>
      </c>
      <c r="J2" s="4" t="s">
        <v>2</v>
      </c>
      <c r="K2" s="4" t="s">
        <v>3</v>
      </c>
      <c r="L2" s="4" t="s">
        <v>4</v>
      </c>
      <c r="M2" s="4" t="s">
        <v>5</v>
      </c>
      <c r="N2" s="5" t="s">
        <v>2</v>
      </c>
      <c r="O2" s="5" t="s">
        <v>3</v>
      </c>
      <c r="P2" s="5" t="s">
        <v>4</v>
      </c>
      <c r="Q2" s="29" t="s">
        <v>5</v>
      </c>
    </row>
    <row r="3" spans="1:17" s="6" customFormat="1" x14ac:dyDescent="0.25">
      <c r="A3" s="30">
        <v>0</v>
      </c>
      <c r="B3" s="7">
        <v>0.378</v>
      </c>
      <c r="C3" s="7">
        <v>0.34100000000000003</v>
      </c>
      <c r="D3" s="7">
        <v>0.44</v>
      </c>
      <c r="E3" s="7">
        <v>0.38600000000000001</v>
      </c>
      <c r="F3" s="8">
        <v>0.36799999999999999</v>
      </c>
      <c r="G3" s="8">
        <v>0.29599999999999999</v>
      </c>
      <c r="H3" s="8">
        <v>0.52500000000000002</v>
      </c>
      <c r="I3" s="8">
        <v>0.36899999999999999</v>
      </c>
      <c r="J3" s="9">
        <v>0.40500000000000003</v>
      </c>
      <c r="K3" s="9">
        <v>0.249</v>
      </c>
      <c r="L3" s="9">
        <v>0.51100000000000001</v>
      </c>
      <c r="M3" s="9">
        <v>0.38800000000000001</v>
      </c>
      <c r="N3" s="10">
        <v>0.40899999999999997</v>
      </c>
      <c r="O3" s="10">
        <v>0.28100000000000003</v>
      </c>
      <c r="P3" s="10">
        <v>0.53100000000000003</v>
      </c>
      <c r="Q3" s="31">
        <v>0.40699999999999997</v>
      </c>
    </row>
    <row r="4" spans="1:17" x14ac:dyDescent="0.25">
      <c r="A4" s="19">
        <v>1</v>
      </c>
      <c r="B4" s="11">
        <v>0.35979830000000002</v>
      </c>
      <c r="C4" s="11">
        <v>0.4034893</v>
      </c>
      <c r="D4" s="11">
        <v>0.4340813</v>
      </c>
      <c r="E4" s="11">
        <v>0.39912300000000001</v>
      </c>
      <c r="F4" s="12">
        <v>0.36791000000000001</v>
      </c>
      <c r="G4" s="12">
        <v>0.29590899999999998</v>
      </c>
      <c r="H4" s="12">
        <v>0.52477960000000001</v>
      </c>
      <c r="I4" s="12">
        <v>0.39619949999999998</v>
      </c>
      <c r="J4" s="13">
        <v>0.42528389999999999</v>
      </c>
      <c r="K4" s="13">
        <v>0.26268780000000003</v>
      </c>
      <c r="L4" s="13">
        <v>0.51021209999999995</v>
      </c>
      <c r="M4" s="13">
        <v>0.39939459999999999</v>
      </c>
      <c r="N4" s="14">
        <v>0.40628769999999997</v>
      </c>
      <c r="O4" s="14">
        <v>0.28670519999999999</v>
      </c>
      <c r="P4" s="14">
        <v>0.53457619999999995</v>
      </c>
      <c r="Q4" s="32">
        <v>0.40918969999999999</v>
      </c>
    </row>
    <row r="5" spans="1:17" x14ac:dyDescent="0.25">
      <c r="A5" s="19">
        <v>2</v>
      </c>
      <c r="B5" s="11">
        <v>0.35079369999999999</v>
      </c>
      <c r="C5" s="11">
        <v>0.36354789999999998</v>
      </c>
      <c r="D5" s="11">
        <v>0.43517889999999998</v>
      </c>
      <c r="E5" s="11">
        <v>0.3831735</v>
      </c>
      <c r="F5" s="12">
        <v>0.37514209999999998</v>
      </c>
      <c r="G5" s="12">
        <v>0.27871580000000001</v>
      </c>
      <c r="H5" s="12">
        <v>0.48692859999999999</v>
      </c>
      <c r="I5" s="12">
        <v>0.38026209999999999</v>
      </c>
      <c r="J5" s="13">
        <v>0.41093819999999998</v>
      </c>
      <c r="K5" s="13">
        <v>0.25780940000000002</v>
      </c>
      <c r="L5" s="13">
        <v>0.50894010000000001</v>
      </c>
      <c r="M5" s="13">
        <v>0.39256259999999998</v>
      </c>
      <c r="N5" s="14">
        <v>0.41273739999999998</v>
      </c>
      <c r="O5" s="14">
        <v>0.28020279999999997</v>
      </c>
      <c r="P5" s="14">
        <v>0.54222870000000001</v>
      </c>
      <c r="Q5" s="32">
        <v>0.41172300000000001</v>
      </c>
    </row>
    <row r="6" spans="1:17" x14ac:dyDescent="0.25">
      <c r="A6" s="19">
        <v>3</v>
      </c>
      <c r="B6" s="11">
        <v>0.4010976</v>
      </c>
      <c r="C6" s="11">
        <v>0.43569580000000002</v>
      </c>
      <c r="D6" s="11">
        <v>0.46097719999999998</v>
      </c>
      <c r="E6" s="11">
        <v>0.43259019999999998</v>
      </c>
      <c r="F6" s="12">
        <v>0.41221479999999999</v>
      </c>
      <c r="G6" s="12">
        <v>0.33374530000000002</v>
      </c>
      <c r="H6" s="12">
        <v>0.52171190000000001</v>
      </c>
      <c r="I6" s="12">
        <v>0.42255730000000002</v>
      </c>
      <c r="J6" s="13">
        <v>0.4089777</v>
      </c>
      <c r="K6" s="13">
        <v>0.25914579999999998</v>
      </c>
      <c r="L6" s="13">
        <v>0.51542759999999999</v>
      </c>
      <c r="M6" s="13">
        <v>0.39451700000000001</v>
      </c>
      <c r="N6" s="14">
        <v>0.40408729999999998</v>
      </c>
      <c r="O6" s="14">
        <v>0.27057419999999999</v>
      </c>
      <c r="P6" s="14">
        <v>0.54175669999999998</v>
      </c>
      <c r="Q6" s="32">
        <v>0.40547270000000002</v>
      </c>
    </row>
    <row r="7" spans="1:17" x14ac:dyDescent="0.25">
      <c r="A7" s="19">
        <v>4</v>
      </c>
      <c r="B7" s="11">
        <v>0.3753261</v>
      </c>
      <c r="C7" s="11">
        <v>0.37600359999999999</v>
      </c>
      <c r="D7" s="11">
        <v>0.41595650000000001</v>
      </c>
      <c r="E7" s="11">
        <v>0.38909539999999998</v>
      </c>
      <c r="F7" s="12">
        <v>0.43605820000000001</v>
      </c>
      <c r="G7" s="12">
        <v>0.25920399999999999</v>
      </c>
      <c r="H7" s="12">
        <v>0.49703550000000002</v>
      </c>
      <c r="I7" s="12">
        <v>0.39743260000000002</v>
      </c>
      <c r="J7" s="13">
        <v>0.43399290000000001</v>
      </c>
      <c r="K7" s="13">
        <v>0.23071549999999999</v>
      </c>
      <c r="L7" s="13">
        <v>0.50483250000000002</v>
      </c>
      <c r="M7" s="13">
        <v>0.389847</v>
      </c>
      <c r="N7" s="14">
        <v>0.41622399999999998</v>
      </c>
      <c r="O7" s="14">
        <v>0.30143510000000001</v>
      </c>
      <c r="P7" s="14">
        <v>0.53098590000000001</v>
      </c>
      <c r="Q7" s="32">
        <v>0.416215</v>
      </c>
    </row>
    <row r="8" spans="1:17" x14ac:dyDescent="0.25">
      <c r="A8" s="19">
        <v>5</v>
      </c>
      <c r="B8" s="11">
        <v>0.40287719999999999</v>
      </c>
      <c r="C8" s="11">
        <v>0.3433271</v>
      </c>
      <c r="D8" s="11">
        <v>0.41021970000000002</v>
      </c>
      <c r="E8" s="11">
        <v>0.3854746</v>
      </c>
      <c r="F8" s="12">
        <v>0.45327119999999999</v>
      </c>
      <c r="G8" s="12">
        <v>0.3362887</v>
      </c>
      <c r="H8" s="12">
        <v>0.50121990000000005</v>
      </c>
      <c r="I8" s="12">
        <v>0.43025989999999997</v>
      </c>
      <c r="J8" s="13">
        <v>0.39059490000000002</v>
      </c>
      <c r="K8" s="13">
        <v>0.28057660000000001</v>
      </c>
      <c r="L8" s="13">
        <v>0.52145260000000004</v>
      </c>
      <c r="M8" s="13">
        <v>0.39754139999999999</v>
      </c>
      <c r="N8" s="14">
        <v>0.37819150000000001</v>
      </c>
      <c r="O8" s="14">
        <v>0.28271000000000002</v>
      </c>
      <c r="P8" s="14">
        <v>0.52727179999999996</v>
      </c>
      <c r="Q8" s="32">
        <v>0.39605780000000002</v>
      </c>
    </row>
    <row r="9" spans="1:17" x14ac:dyDescent="0.25">
      <c r="A9" s="19">
        <v>6</v>
      </c>
      <c r="B9" s="11">
        <v>0.38769870000000001</v>
      </c>
      <c r="C9" s="11">
        <v>0.49809389999999998</v>
      </c>
      <c r="D9" s="11">
        <v>0.44218079999999998</v>
      </c>
      <c r="E9" s="11">
        <v>0.44265779999999999</v>
      </c>
      <c r="F9" s="12">
        <v>0.48204799999999998</v>
      </c>
      <c r="G9" s="12">
        <v>0.36039130000000003</v>
      </c>
      <c r="H9" s="12">
        <v>0.48548599999999997</v>
      </c>
      <c r="I9" s="12">
        <v>0.44264179999999997</v>
      </c>
      <c r="J9" s="13">
        <v>0.41387829999999998</v>
      </c>
      <c r="K9" s="13">
        <v>0.27912199999999998</v>
      </c>
      <c r="L9" s="13">
        <v>0.52150680000000005</v>
      </c>
      <c r="M9" s="13">
        <v>0.40483570000000002</v>
      </c>
      <c r="N9" s="14">
        <v>0.3996576</v>
      </c>
      <c r="O9" s="14">
        <v>0.31102600000000002</v>
      </c>
      <c r="P9" s="14">
        <v>0.56151209999999996</v>
      </c>
      <c r="Q9" s="32">
        <v>0.42406519999999998</v>
      </c>
    </row>
    <row r="10" spans="1:17" x14ac:dyDescent="0.25">
      <c r="A10" s="19">
        <v>7</v>
      </c>
      <c r="B10" s="11">
        <v>0.39566040000000002</v>
      </c>
      <c r="C10" s="11">
        <v>0.42358469999999998</v>
      </c>
      <c r="D10" s="11">
        <v>0.4178</v>
      </c>
      <c r="E10" s="11">
        <v>0.4123484</v>
      </c>
      <c r="F10" s="12">
        <v>0.40350999999999998</v>
      </c>
      <c r="G10" s="12">
        <v>0.25954460000000001</v>
      </c>
      <c r="H10" s="12">
        <v>0.47006680000000001</v>
      </c>
      <c r="I10" s="12">
        <v>0.37770710000000002</v>
      </c>
      <c r="J10" s="13">
        <v>0.41349140000000001</v>
      </c>
      <c r="K10" s="13">
        <v>0.28478969999999998</v>
      </c>
      <c r="L10" s="13">
        <v>0.53509499999999999</v>
      </c>
      <c r="M10" s="13">
        <v>0.41112539999999997</v>
      </c>
      <c r="N10" s="14">
        <v>0.40711920000000001</v>
      </c>
      <c r="O10" s="14">
        <v>0.27672770000000002</v>
      </c>
      <c r="P10" s="14">
        <v>0.52899629999999997</v>
      </c>
      <c r="Q10" s="32">
        <v>0.4042811</v>
      </c>
    </row>
    <row r="11" spans="1:17" ht="15.75" thickBot="1" x14ac:dyDescent="0.3">
      <c r="A11" s="22">
        <v>8</v>
      </c>
      <c r="B11" s="33">
        <v>0.40626810000000002</v>
      </c>
      <c r="C11" s="33">
        <v>0.29984460000000002</v>
      </c>
      <c r="D11" s="33">
        <v>0.41887619999999998</v>
      </c>
      <c r="E11" s="33">
        <v>0.3749963</v>
      </c>
      <c r="F11" s="34">
        <v>0.38889590000000002</v>
      </c>
      <c r="G11" s="34">
        <v>0.30831360000000002</v>
      </c>
      <c r="H11" s="34">
        <v>0.48509730000000001</v>
      </c>
      <c r="I11" s="34">
        <v>0.39410230000000002</v>
      </c>
      <c r="J11" s="35">
        <v>0.42849280000000001</v>
      </c>
      <c r="K11" s="35">
        <v>0.29919230000000002</v>
      </c>
      <c r="L11" s="35">
        <v>0.51505849999999997</v>
      </c>
      <c r="M11" s="35">
        <v>0.4142478</v>
      </c>
      <c r="N11" s="36">
        <v>0.40298909999999999</v>
      </c>
      <c r="O11" s="36">
        <v>0.27970970000000001</v>
      </c>
      <c r="P11" s="36">
        <v>0.54084650000000001</v>
      </c>
      <c r="Q11" s="37">
        <v>0.4078485</v>
      </c>
    </row>
    <row r="12" spans="1:17" x14ac:dyDescent="0.25">
      <c r="A12" s="1" t="s">
        <v>1</v>
      </c>
      <c r="B12" s="11">
        <f>AVERAGE(B3:B11)</f>
        <v>0.38416889999999998</v>
      </c>
      <c r="C12" s="11">
        <f t="shared" ref="C12:Q12" si="0">AVERAGE(C3:C11)</f>
        <v>0.3871763222222222</v>
      </c>
      <c r="D12" s="11">
        <f t="shared" si="0"/>
        <v>0.43058562222222224</v>
      </c>
      <c r="E12" s="11">
        <f t="shared" si="0"/>
        <v>0.40060657777777775</v>
      </c>
      <c r="F12" s="12">
        <f t="shared" si="0"/>
        <v>0.40967224444444439</v>
      </c>
      <c r="G12" s="12">
        <f t="shared" si="0"/>
        <v>0.30312358888888885</v>
      </c>
      <c r="H12" s="12">
        <f t="shared" si="0"/>
        <v>0.49970284444444435</v>
      </c>
      <c r="I12" s="12">
        <f t="shared" si="0"/>
        <v>0.40112917777777773</v>
      </c>
      <c r="J12" s="13">
        <f t="shared" si="0"/>
        <v>0.41451667777777773</v>
      </c>
      <c r="K12" s="13">
        <f t="shared" si="0"/>
        <v>0.26700434444444449</v>
      </c>
      <c r="L12" s="13">
        <f t="shared" si="0"/>
        <v>0.5159472444444444</v>
      </c>
      <c r="M12" s="13">
        <f t="shared" si="0"/>
        <v>0.3991190555555556</v>
      </c>
      <c r="N12" s="14">
        <f t="shared" si="0"/>
        <v>0.40403264444444442</v>
      </c>
      <c r="O12" s="14">
        <f t="shared" si="0"/>
        <v>0.28556563333333329</v>
      </c>
      <c r="P12" s="14">
        <f t="shared" si="0"/>
        <v>0.53768602222222217</v>
      </c>
      <c r="Q12" s="14">
        <f t="shared" si="0"/>
        <v>0.40909477777777775</v>
      </c>
    </row>
    <row r="13" spans="1:17" x14ac:dyDescent="0.25">
      <c r="A13" s="1" t="s">
        <v>6</v>
      </c>
      <c r="B13" s="11">
        <f>MIN(B3:B11)</f>
        <v>0.35079369999999999</v>
      </c>
      <c r="C13" s="11">
        <f t="shared" ref="C13:Q13" si="1">MIN(C3:C11)</f>
        <v>0.29984460000000002</v>
      </c>
      <c r="D13" s="11">
        <f t="shared" si="1"/>
        <v>0.41021970000000002</v>
      </c>
      <c r="E13" s="11">
        <f t="shared" si="1"/>
        <v>0.3749963</v>
      </c>
      <c r="F13" s="12">
        <f t="shared" si="1"/>
        <v>0.36791000000000001</v>
      </c>
      <c r="G13" s="12">
        <f t="shared" si="1"/>
        <v>0.25920399999999999</v>
      </c>
      <c r="H13" s="12">
        <f t="shared" si="1"/>
        <v>0.47006680000000001</v>
      </c>
      <c r="I13" s="12">
        <f t="shared" si="1"/>
        <v>0.36899999999999999</v>
      </c>
      <c r="J13" s="13">
        <f t="shared" si="1"/>
        <v>0.39059490000000002</v>
      </c>
      <c r="K13" s="13">
        <f t="shared" si="1"/>
        <v>0.23071549999999999</v>
      </c>
      <c r="L13" s="13">
        <f t="shared" si="1"/>
        <v>0.50483250000000002</v>
      </c>
      <c r="M13" s="13">
        <f t="shared" si="1"/>
        <v>0.38800000000000001</v>
      </c>
      <c r="N13" s="14">
        <f t="shared" si="1"/>
        <v>0.37819150000000001</v>
      </c>
      <c r="O13" s="14">
        <f t="shared" si="1"/>
        <v>0.27057419999999999</v>
      </c>
      <c r="P13" s="14">
        <f t="shared" si="1"/>
        <v>0.52727179999999996</v>
      </c>
      <c r="Q13" s="14">
        <f t="shared" si="1"/>
        <v>0.39605780000000002</v>
      </c>
    </row>
    <row r="14" spans="1:17" x14ac:dyDescent="0.25">
      <c r="A14" s="1" t="s">
        <v>7</v>
      </c>
      <c r="B14" s="11">
        <f>MAX(B3:B11)</f>
        <v>0.40626810000000002</v>
      </c>
      <c r="C14" s="11">
        <f t="shared" ref="C14:Q14" si="2">MAX(C3:C11)</f>
        <v>0.49809389999999998</v>
      </c>
      <c r="D14" s="11">
        <f t="shared" si="2"/>
        <v>0.46097719999999998</v>
      </c>
      <c r="E14" s="11">
        <f t="shared" si="2"/>
        <v>0.44265779999999999</v>
      </c>
      <c r="F14" s="12">
        <f t="shared" si="2"/>
        <v>0.48204799999999998</v>
      </c>
      <c r="G14" s="12">
        <f t="shared" si="2"/>
        <v>0.36039130000000003</v>
      </c>
      <c r="H14" s="12">
        <f t="shared" si="2"/>
        <v>0.52500000000000002</v>
      </c>
      <c r="I14" s="12">
        <f t="shared" si="2"/>
        <v>0.44264179999999997</v>
      </c>
      <c r="J14" s="13">
        <f t="shared" si="2"/>
        <v>0.43399290000000001</v>
      </c>
      <c r="K14" s="13">
        <f t="shared" si="2"/>
        <v>0.29919230000000002</v>
      </c>
      <c r="L14" s="13">
        <f t="shared" si="2"/>
        <v>0.53509499999999999</v>
      </c>
      <c r="M14" s="13">
        <f t="shared" si="2"/>
        <v>0.4142478</v>
      </c>
      <c r="N14" s="14">
        <f t="shared" si="2"/>
        <v>0.41622399999999998</v>
      </c>
      <c r="O14" s="14">
        <f t="shared" si="2"/>
        <v>0.31102600000000002</v>
      </c>
      <c r="P14" s="14">
        <f t="shared" si="2"/>
        <v>0.56151209999999996</v>
      </c>
      <c r="Q14" s="14">
        <f t="shared" si="2"/>
        <v>0.42406519999999998</v>
      </c>
    </row>
    <row r="15" spans="1:17" x14ac:dyDescent="0.25">
      <c r="A15" s="1" t="s">
        <v>8</v>
      </c>
      <c r="B15" s="15">
        <f>MEDIAN(B3:B11)</f>
        <v>0.38769870000000001</v>
      </c>
      <c r="C15" s="15">
        <f>MEDIAN(C3:C11)</f>
        <v>0.37600359999999999</v>
      </c>
      <c r="D15" s="15">
        <f t="shared" ref="D15:Q15" si="3">MEDIAN(D3:D11)</f>
        <v>0.4340813</v>
      </c>
      <c r="E15" s="15">
        <f t="shared" si="3"/>
        <v>0.38909539999999998</v>
      </c>
      <c r="F15" s="16">
        <f t="shared" si="3"/>
        <v>0.40350999999999998</v>
      </c>
      <c r="G15" s="16">
        <f t="shared" si="3"/>
        <v>0.29599999999999999</v>
      </c>
      <c r="H15" s="16">
        <f t="shared" si="3"/>
        <v>0.49703550000000002</v>
      </c>
      <c r="I15" s="16">
        <f t="shared" si="3"/>
        <v>0.39619949999999998</v>
      </c>
      <c r="J15" s="17">
        <f t="shared" si="3"/>
        <v>0.41349140000000001</v>
      </c>
      <c r="K15" s="17">
        <f t="shared" si="3"/>
        <v>0.26268780000000003</v>
      </c>
      <c r="L15" s="17">
        <f t="shared" si="3"/>
        <v>0.51505849999999997</v>
      </c>
      <c r="M15" s="17">
        <f t="shared" si="3"/>
        <v>0.39754139999999999</v>
      </c>
      <c r="N15" s="18">
        <f t="shared" si="3"/>
        <v>0.40628769999999997</v>
      </c>
      <c r="O15" s="18">
        <f t="shared" si="3"/>
        <v>0.28100000000000003</v>
      </c>
      <c r="P15" s="18">
        <f t="shared" si="3"/>
        <v>0.53457619999999995</v>
      </c>
      <c r="Q15" s="18">
        <f t="shared" si="3"/>
        <v>0.4078485</v>
      </c>
    </row>
    <row r="16" spans="1:17" x14ac:dyDescent="0.25">
      <c r="A16" s="1" t="s">
        <v>9</v>
      </c>
      <c r="B16">
        <v>6</v>
      </c>
      <c r="C16">
        <v>4</v>
      </c>
      <c r="D16">
        <v>1</v>
      </c>
      <c r="E16">
        <v>4</v>
      </c>
      <c r="F16">
        <v>7</v>
      </c>
      <c r="G16">
        <v>0</v>
      </c>
      <c r="H16">
        <v>4</v>
      </c>
      <c r="I16">
        <v>1</v>
      </c>
      <c r="J16">
        <v>7</v>
      </c>
      <c r="K16">
        <v>1</v>
      </c>
      <c r="L16">
        <v>3</v>
      </c>
      <c r="M16">
        <v>5</v>
      </c>
      <c r="N16">
        <v>1</v>
      </c>
      <c r="O16">
        <v>0</v>
      </c>
      <c r="P16">
        <v>1</v>
      </c>
      <c r="Q16">
        <v>8</v>
      </c>
    </row>
  </sheetData>
  <mergeCells count="4">
    <mergeCell ref="B1:E1"/>
    <mergeCell ref="F1:I1"/>
    <mergeCell ref="J1:M1"/>
    <mergeCell ref="N1:Q1"/>
  </mergeCells>
  <conditionalFormatting sqref="B15:Q15">
    <cfRule type="colorScale" priority="1">
      <colorScale>
        <cfvo type="num" val="0"/>
        <cfvo type="num" val="0.5"/>
        <cfvo type="num" val="1"/>
        <color rgb="FF5A8AC6"/>
        <color rgb="FFFCFCFF"/>
        <color rgb="FFF8696B"/>
      </colorScale>
    </cfRule>
  </conditionalFormatting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16A5D-6C9D-46FE-A115-9381ECBF82D5}">
  <dimension ref="A1:C15"/>
  <sheetViews>
    <sheetView workbookViewId="0">
      <selection activeCell="C21" sqref="C21"/>
    </sheetView>
  </sheetViews>
  <sheetFormatPr defaultColWidth="8.85546875" defaultRowHeight="15" x14ac:dyDescent="0.25"/>
  <cols>
    <col min="1" max="1" width="12.42578125" bestFit="1" customWidth="1"/>
    <col min="2" max="2" width="10" bestFit="1" customWidth="1"/>
    <col min="3" max="3" width="14.85546875" bestFit="1" customWidth="1"/>
  </cols>
  <sheetData>
    <row r="1" spans="1:3" x14ac:dyDescent="0.25">
      <c r="A1" s="25" t="s">
        <v>0</v>
      </c>
      <c r="B1" s="43" t="s">
        <v>10</v>
      </c>
      <c r="C1" s="44"/>
    </row>
    <row r="2" spans="1:3" x14ac:dyDescent="0.25">
      <c r="A2" s="19"/>
      <c r="B2" s="26" t="s">
        <v>23</v>
      </c>
      <c r="C2" s="27" t="s">
        <v>24</v>
      </c>
    </row>
    <row r="3" spans="1:3" x14ac:dyDescent="0.25">
      <c r="A3" s="19">
        <v>0</v>
      </c>
      <c r="B3" s="20">
        <v>0.37984489999999999</v>
      </c>
      <c r="C3" s="21">
        <v>0.47106150000000002</v>
      </c>
    </row>
    <row r="4" spans="1:3" x14ac:dyDescent="0.25">
      <c r="A4" s="19">
        <v>1</v>
      </c>
      <c r="B4" s="20">
        <v>0.3273953</v>
      </c>
      <c r="C4" s="21">
        <v>0.46957959999999999</v>
      </c>
    </row>
    <row r="5" spans="1:3" x14ac:dyDescent="0.25">
      <c r="A5" s="19">
        <v>2</v>
      </c>
      <c r="B5" s="20">
        <v>0.37967400000000001</v>
      </c>
      <c r="C5" s="21">
        <v>0.47715259999999998</v>
      </c>
    </row>
    <row r="6" spans="1:3" x14ac:dyDescent="0.25">
      <c r="A6" s="19">
        <v>3</v>
      </c>
      <c r="B6" s="20">
        <v>0.34181790000000001</v>
      </c>
      <c r="C6" s="21">
        <v>0.45699790000000001</v>
      </c>
    </row>
    <row r="7" spans="1:3" x14ac:dyDescent="0.25">
      <c r="A7" s="19">
        <v>4</v>
      </c>
      <c r="B7" s="20">
        <v>0.38983079999999998</v>
      </c>
      <c r="C7" s="21">
        <v>0.47611110000000001</v>
      </c>
    </row>
    <row r="8" spans="1:3" x14ac:dyDescent="0.25">
      <c r="A8" s="19">
        <v>5</v>
      </c>
      <c r="B8" s="20">
        <v>0.34580260000000002</v>
      </c>
      <c r="C8" s="21">
        <v>0.48035250000000002</v>
      </c>
    </row>
    <row r="9" spans="1:3" x14ac:dyDescent="0.25">
      <c r="A9" s="19">
        <v>6</v>
      </c>
      <c r="B9" s="20">
        <v>0.31994830000000002</v>
      </c>
      <c r="C9" s="21">
        <v>0.4782439</v>
      </c>
    </row>
    <row r="10" spans="1:3" x14ac:dyDescent="0.25">
      <c r="A10" s="19">
        <v>7</v>
      </c>
      <c r="B10" s="20">
        <v>0.35573949999999999</v>
      </c>
      <c r="C10" s="21">
        <v>0.4791571</v>
      </c>
    </row>
    <row r="11" spans="1:3" ht="15.75" thickBot="1" x14ac:dyDescent="0.3">
      <c r="A11" s="22">
        <v>8</v>
      </c>
      <c r="B11" s="23">
        <v>0.33955249999999998</v>
      </c>
      <c r="C11" s="24">
        <v>0.45929179999999997</v>
      </c>
    </row>
    <row r="12" spans="1:3" x14ac:dyDescent="0.25">
      <c r="A12" s="1" t="s">
        <v>6</v>
      </c>
      <c r="B12">
        <f>MIN(B3:B11)</f>
        <v>0.31994830000000002</v>
      </c>
      <c r="C12">
        <f>MIN(C3:C11)</f>
        <v>0.45699790000000001</v>
      </c>
    </row>
    <row r="13" spans="1:3" x14ac:dyDescent="0.25">
      <c r="A13" s="1" t="s">
        <v>7</v>
      </c>
      <c r="B13">
        <f>MAX(B3:B11)</f>
        <v>0.38983079999999998</v>
      </c>
      <c r="C13">
        <f>MAX(C3:C11)</f>
        <v>0.48035250000000002</v>
      </c>
    </row>
    <row r="14" spans="1:3" x14ac:dyDescent="0.25">
      <c r="A14" s="1" t="s">
        <v>8</v>
      </c>
      <c r="B14">
        <f>MEDIAN(B3:B11)</f>
        <v>0.34580260000000002</v>
      </c>
      <c r="C14">
        <f>MEDIAN(C3:C11)</f>
        <v>0.47611110000000001</v>
      </c>
    </row>
    <row r="15" spans="1:3" x14ac:dyDescent="0.25">
      <c r="A15" s="1" t="s">
        <v>9</v>
      </c>
      <c r="B15">
        <v>5</v>
      </c>
      <c r="C15">
        <v>4</v>
      </c>
    </row>
  </sheetData>
  <mergeCells count="1">
    <mergeCell ref="B1:C1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Key</vt:lpstr>
      <vt:lpstr>Single CCFI</vt:lpstr>
      <vt:lpstr>CCFI Profile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Mikhail Reshetnikov</dc:creator>
  <cp:lastModifiedBy>Mikhail Reshetnikov</cp:lastModifiedBy>
  <dcterms:created xsi:type="dcterms:W3CDTF">2021-11-27T10:53:55Z</dcterms:created>
  <dcterms:modified xsi:type="dcterms:W3CDTF">2021-12-24T16:40:54Z</dcterms:modified>
</cp:coreProperties>
</file>